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quisition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%;(0.0%)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166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6" borderId="1" pivotButton="0" quotePrefix="0" xfId="0"/>
    <xf numFmtId="164" fontId="4" fillId="5" borderId="1" pivotButton="0" quotePrefix="0" xfId="0"/>
    <xf numFmtId="0" fontId="5" fillId="7" borderId="0" pivotButton="0" quotePrefix="0" xfId="0"/>
    <xf numFmtId="0" fontId="6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6" customWidth="1" min="8" max="8"/>
    <col width="12" customWidth="1" min="9" max="9"/>
    <col width="12" customWidth="1" min="10" max="10"/>
    <col width="10" customWidth="1" min="11" max="11"/>
    <col width="28" customWidth="1" min="12" max="12"/>
  </cols>
  <sheetData>
    <row r="1" ht="22" customHeight="1">
      <c r="A1" s="1" t="inlineStr">
        <is>
          <t>SW Acquisition ROI — Campaign Tracking</t>
        </is>
      </c>
    </row>
    <row r="2" ht="16" customHeight="1">
      <c r="A2" s="2" t="inlineStr">
        <is>
          <t>Tracks paid acquisition campaigns. Conv. Rate and ROI auto-calculated. Yellow = manual inputs. Source: VAN export (Apr 07, 2026).</t>
        </is>
      </c>
    </row>
    <row r="3" ht="30" customHeight="1">
      <c r="A3" s="3" t="inlineStr">
        <is>
          <t>Campaign / Origin Code</t>
        </is>
      </c>
      <c r="B3" s="3" t="inlineStr">
        <is>
          <t>Platform</t>
        </is>
      </c>
      <c r="C3" s="3" t="inlineStr">
        <is>
          <t>Start Date</t>
        </is>
      </c>
      <c r="D3" s="3" t="inlineStr">
        <is>
          <t>End Date</t>
        </is>
      </c>
      <c r="E3" s="3" t="inlineStr">
        <is>
          <t>Spend ($)</t>
        </is>
      </c>
      <c r="F3" s="3" t="inlineStr">
        <is>
          <t>New Contacts</t>
        </is>
      </c>
      <c r="G3" s="3" t="inlineStr">
        <is>
          <t>Cost Per Contact ($)</t>
        </is>
      </c>
      <c r="H3" s="3" t="inlineStr">
        <is>
          <t>Conversions (Donors)</t>
        </is>
      </c>
      <c r="I3" s="3" t="inlineStr">
        <is>
          <t>Conv. Rate</t>
        </is>
      </c>
      <c r="J3" s="3" t="inlineStr">
        <is>
          <t>Revenue ($)</t>
        </is>
      </c>
      <c r="K3" s="3" t="inlineStr">
        <is>
          <t>ROI</t>
        </is>
      </c>
      <c r="L3" s="3" t="inlineStr">
        <is>
          <t>Notes</t>
        </is>
      </c>
    </row>
    <row r="4">
      <c r="A4" s="4" t="inlineStr">
        <is>
          <t>Paid — Meta Lead Gen</t>
        </is>
      </c>
      <c r="B4" s="4" t="inlineStr">
        <is>
          <t>Meta</t>
        </is>
      </c>
      <c r="C4" s="5" t="inlineStr"/>
      <c r="D4" s="5" t="inlineStr"/>
      <c r="E4" s="5" t="n"/>
      <c r="F4" s="5" t="n"/>
      <c r="G4" s="6">
        <f>IF(AND(ISNUMBER(E4),ISNUMBER(F4),F4&lt;&gt;0),E4/F4,"")</f>
        <v/>
      </c>
      <c r="H4" s="5" t="n"/>
      <c r="I4" s="7">
        <f>IF(AND(ISNUMBER(F4),F4&lt;&gt;0,ISNUMBER(H4)),H4/F4,"")</f>
        <v/>
      </c>
      <c r="J4" s="5" t="n"/>
      <c r="K4" s="8">
        <f>IF(AND(ISNUMBER(E4),E4&lt;&gt;0,ISNUMBER(J4)),(J4-E4)/E4,"")</f>
        <v/>
      </c>
      <c r="L4" s="4" t="inlineStr">
        <is>
          <t>Facebook/Instagram lead ads</t>
        </is>
      </c>
    </row>
    <row r="5">
      <c r="A5" s="9" t="inlineStr">
        <is>
          <t>Paid — Google Ads</t>
        </is>
      </c>
      <c r="B5" s="9" t="inlineStr">
        <is>
          <t>Google</t>
        </is>
      </c>
      <c r="C5" s="5" t="inlineStr"/>
      <c r="D5" s="5" t="inlineStr"/>
      <c r="E5" s="5" t="n"/>
      <c r="F5" s="5" t="n"/>
      <c r="G5" s="10">
        <f>IF(AND(ISNUMBER(E5),ISNUMBER(F5),F5&lt;&gt;0),E5/F5,"")</f>
        <v/>
      </c>
      <c r="H5" s="5" t="n"/>
      <c r="I5" s="11">
        <f>IF(AND(ISNUMBER(F5),F5&lt;&gt;0,ISNUMBER(H5)),H5/F5,"")</f>
        <v/>
      </c>
      <c r="J5" s="5" t="n"/>
      <c r="K5" s="12">
        <f>IF(AND(ISNUMBER(E5),E5&lt;&gt;0,ISNUMBER(J5)),(J5-E5)/E5,"")</f>
        <v/>
      </c>
      <c r="L5" s="9" t="inlineStr">
        <is>
          <t>Search campaign</t>
        </is>
      </c>
    </row>
    <row r="6">
      <c r="A6" s="4" t="inlineStr">
        <is>
          <t>Organic / Direct</t>
        </is>
      </c>
      <c r="B6" s="4" t="inlineStr">
        <is>
          <t>Organic</t>
        </is>
      </c>
      <c r="C6" s="5" t="inlineStr"/>
      <c r="D6" s="5" t="inlineStr"/>
      <c r="E6" s="13" t="n">
        <v>0</v>
      </c>
      <c r="F6" s="5" t="n"/>
      <c r="G6" s="6">
        <f>IF(AND(ISNUMBER(E6),ISNUMBER(F6),F6&lt;&gt;0),E6/F6,"")</f>
        <v/>
      </c>
      <c r="H6" s="5" t="n"/>
      <c r="I6" s="7">
        <f>IF(AND(ISNUMBER(F6),F6&lt;&gt;0,ISNUMBER(H6)),H6/F6,"")</f>
        <v/>
      </c>
      <c r="J6" s="5" t="n"/>
      <c r="K6" s="8">
        <f>IF(AND(ISNUMBER(E6),E6&lt;&gt;0,ISNUMBER(J6)),(J6-E6)/E6,"")</f>
        <v/>
      </c>
      <c r="L6" s="4" t="inlineStr">
        <is>
          <t>No paid spend</t>
        </is>
      </c>
    </row>
    <row r="7">
      <c r="A7" s="9" t="inlineStr">
        <is>
          <t>NTL — Texting List</t>
        </is>
      </c>
      <c r="B7" s="9" t="inlineStr">
        <is>
          <t>NTL</t>
        </is>
      </c>
      <c r="C7" s="5" t="inlineStr"/>
      <c r="D7" s="5" t="inlineStr"/>
      <c r="E7" s="5" t="n"/>
      <c r="F7" s="5" t="n"/>
      <c r="G7" s="10">
        <f>IF(AND(ISNUMBER(E7),ISNUMBER(F7),F7&lt;&gt;0),E7/F7,"")</f>
        <v/>
      </c>
      <c r="H7" s="5" t="n"/>
      <c r="I7" s="11">
        <f>IF(AND(ISNUMBER(F7),F7&lt;&gt;0,ISNUMBER(H7)),H7/F7,"")</f>
        <v/>
      </c>
      <c r="J7" s="5" t="n"/>
      <c r="K7" s="12">
        <f>IF(AND(ISNUMBER(E7),E7&lt;&gt;0,ISNUMBER(J7)),(J7-E7)/E7,"")</f>
        <v/>
      </c>
      <c r="L7" s="9" t="inlineStr">
        <is>
          <t>National Texting League</t>
        </is>
      </c>
    </row>
    <row r="8">
      <c r="A8" s="4" t="inlineStr">
        <is>
          <t>ActBlue Remarketing</t>
        </is>
      </c>
      <c r="B8" s="4" t="inlineStr">
        <is>
          <t>ActBlue</t>
        </is>
      </c>
      <c r="C8" s="5" t="inlineStr"/>
      <c r="D8" s="5" t="inlineStr"/>
      <c r="E8" s="5" t="n"/>
      <c r="F8" s="5" t="n"/>
      <c r="G8" s="6">
        <f>IF(AND(ISNUMBER(E8),ISNUMBER(F8),F8&lt;&gt;0),E8/F8,"")</f>
        <v/>
      </c>
      <c r="H8" s="5" t="n"/>
      <c r="I8" s="7">
        <f>IF(AND(ISNUMBER(F8),F8&lt;&gt;0,ISNUMBER(H8)),H8/F8,"")</f>
        <v/>
      </c>
      <c r="J8" s="5" t="n"/>
      <c r="K8" s="8">
        <f>IF(AND(ISNUMBER(E8),E8&lt;&gt;0,ISNUMBER(J8)),(J8-E8)/E8,"")</f>
        <v/>
      </c>
      <c r="L8" s="4" t="inlineStr">
        <is>
          <t>ab_remarketing tag</t>
        </is>
      </c>
    </row>
    <row r="10">
      <c r="A10" s="14" t="inlineStr">
        <is>
          <t>Summary — Total Acquisition Export</t>
        </is>
      </c>
    </row>
    <row r="11">
      <c r="A11" s="15" t="inlineStr">
        <is>
          <t>Total Contacts in Export:</t>
        </is>
      </c>
      <c r="B11" s="16" t="n">
        <v>391303</v>
      </c>
    </row>
    <row r="12">
      <c r="A12" s="15" t="inlineStr">
        <is>
          <t>Export Date:</t>
        </is>
      </c>
      <c r="B12" s="17" t="inlineStr">
        <is>
          <t>Apr 07, 2026</t>
        </is>
      </c>
    </row>
  </sheetData>
  <mergeCells count="3">
    <mergeCell ref="A10:L10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2026-04-14T16:18:37Z</dcterms:created>
  <dcterms:modified xmlns:dcterms="http://purl.org/dc/terms/" xmlns:xsi="http://www.w3.org/2001/XMLSchema-instance" xsi:type="dcterms:W3CDTF">2026-04-14T16:18:37Z</dcterms:modified>
</cp:coreProperties>
</file>