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Tracking" sheetId="1" state="visible" r:id="rId1"/>
    <sheet xmlns:r="http://schemas.openxmlformats.org/officeDocument/2006/relationships" name="Weekly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;(0.0%);-"/>
    <numFmt numFmtId="166" formatCode="MM/DD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3" fontId="4" fillId="5" borderId="1" pivotButton="0" quotePrefix="0" xfId="0"/>
    <xf numFmtId="166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28" customWidth="1" min="9" max="9"/>
    <col width="12" customWidth="1" min="10" max="10"/>
  </cols>
  <sheetData>
    <row r="1" ht="22" customHeight="1">
      <c r="A1" s="1" t="inlineStr">
        <is>
          <t>SW List Size — Segment Tracking</t>
        </is>
      </c>
    </row>
    <row r="2" ht="16" customHeight="1">
      <c r="A2" s="2" t="inlineStr">
        <is>
          <t>Update segment sizes weekly. Yellow cells are manual inputs.</t>
        </is>
      </c>
    </row>
    <row r="3" ht="28" customHeight="1">
      <c r="A3" s="3" t="inlineStr">
        <is>
          <t>Segment Name</t>
        </is>
      </c>
      <c r="B3" s="3" t="inlineStr">
        <is>
          <t>Platform</t>
        </is>
      </c>
      <c r="C3" s="3" t="inlineStr">
        <is>
          <t>List Type</t>
        </is>
      </c>
      <c r="D3" s="3" t="inlineStr">
        <is>
          <t>Current Size</t>
        </is>
      </c>
      <c r="E3" s="3" t="inlineStr">
        <is>
          <t>Last Updated</t>
        </is>
      </c>
      <c r="F3" s="3" t="inlineStr">
        <is>
          <t>Prior Week Size</t>
        </is>
      </c>
      <c r="G3" s="3" t="inlineStr">
        <is>
          <t>Change (#)</t>
        </is>
      </c>
      <c r="H3" s="3" t="inlineStr">
        <is>
          <t>Change (%)</t>
        </is>
      </c>
      <c r="I3" s="3" t="inlineStr">
        <is>
          <t>Notes</t>
        </is>
      </c>
      <c r="J3" s="3" t="inlineStr">
        <is>
          <t>Status</t>
        </is>
      </c>
    </row>
    <row r="4">
      <c r="A4" s="4" t="inlineStr">
        <is>
          <t>Email — 180DO</t>
        </is>
      </c>
      <c r="B4" s="4" t="inlineStr">
        <is>
          <t>EveryAction</t>
        </is>
      </c>
      <c r="C4" s="4" t="inlineStr">
        <is>
          <t>Email</t>
        </is>
      </c>
      <c r="D4" s="5" t="n"/>
      <c r="E4" s="5" t="inlineStr"/>
      <c r="F4" s="5" t="n"/>
      <c r="G4" s="6">
        <f>IF(AND(ISNUMBER(D4),ISNUMBER(F4)),D4-F4,"")</f>
        <v/>
      </c>
      <c r="H4" s="7">
        <f>IF(AND(ISNUMBER(D4),ISNUMBER(F4),F4&lt;&gt;0),(D4-F4)/F4,"")</f>
        <v/>
      </c>
      <c r="I4" s="4" t="inlineStr">
        <is>
          <t>Active list</t>
        </is>
      </c>
      <c r="J4" s="4" t="inlineStr">
        <is>
          <t>Active</t>
        </is>
      </c>
    </row>
    <row r="5">
      <c r="A5" s="8" t="inlineStr">
        <is>
          <t>Email — 90DO</t>
        </is>
      </c>
      <c r="B5" s="8" t="inlineStr">
        <is>
          <t>EveryAction</t>
        </is>
      </c>
      <c r="C5" s="8" t="inlineStr">
        <is>
          <t>Email</t>
        </is>
      </c>
      <c r="D5" s="5" t="n"/>
      <c r="E5" s="5" t="inlineStr"/>
      <c r="F5" s="5" t="n"/>
      <c r="G5" s="9">
        <f>IF(AND(ISNUMBER(D5),ISNUMBER(F5)),D5-F5,"")</f>
        <v/>
      </c>
      <c r="H5" s="10">
        <f>IF(AND(ISNUMBER(D5),ISNUMBER(F5),F5&lt;&gt;0),(D5-F5)/F5,"")</f>
        <v/>
      </c>
      <c r="I5" s="8" t="inlineStr">
        <is>
          <t>Active list</t>
        </is>
      </c>
      <c r="J5" s="8" t="inlineStr">
        <is>
          <t>Active</t>
        </is>
      </c>
    </row>
    <row r="6">
      <c r="A6" s="4" t="inlineStr">
        <is>
          <t>Email — 365 SF/Local</t>
        </is>
      </c>
      <c r="B6" s="4" t="inlineStr">
        <is>
          <t>EveryAction</t>
        </is>
      </c>
      <c r="C6" s="4" t="inlineStr">
        <is>
          <t>Email</t>
        </is>
      </c>
      <c r="D6" s="5" t="n"/>
      <c r="E6" s="5" t="inlineStr"/>
      <c r="F6" s="5" t="n"/>
      <c r="G6" s="6">
        <f>IF(AND(ISNUMBER(D6),ISNUMBER(F6)),D6-F6,"")</f>
        <v/>
      </c>
      <c r="H6" s="7">
        <f>IF(AND(ISNUMBER(D6),ISNUMBER(F6),F6&lt;&gt;0),(D6-F6)/F6,"")</f>
        <v/>
      </c>
      <c r="I6" s="4" t="inlineStr">
        <is>
          <t>Local segment</t>
        </is>
      </c>
      <c r="J6" s="4" t="inlineStr">
        <is>
          <t>Active</t>
        </is>
      </c>
    </row>
    <row r="7">
      <c r="A7" s="8" t="inlineStr">
        <is>
          <t>Texting — NTL</t>
        </is>
      </c>
      <c r="B7" s="8" t="inlineStr">
        <is>
          <t>NTL</t>
        </is>
      </c>
      <c r="C7" s="8" t="inlineStr">
        <is>
          <t>SMS</t>
        </is>
      </c>
      <c r="D7" s="11" t="n">
        <v>3954</v>
      </c>
      <c r="E7" s="5" t="inlineStr"/>
      <c r="F7" s="5" t="n"/>
      <c r="G7" s="9">
        <f>IF(AND(ISNUMBER(D7),ISNUMBER(F7)),D7-F7,"")</f>
        <v/>
      </c>
      <c r="H7" s="10">
        <f>IF(AND(ISNUMBER(D7),ISNUMBER(F7),F7&lt;&gt;0),(D7-F7)/F7,"")</f>
        <v/>
      </c>
      <c r="I7" s="8" t="inlineStr">
        <is>
          <t>National Texting League</t>
        </is>
      </c>
      <c r="J7" s="8" t="inlineStr">
        <is>
          <t>Active</t>
        </is>
      </c>
    </row>
    <row r="8">
      <c r="A8" s="4" t="inlineStr">
        <is>
          <t>Texting — P2P</t>
        </is>
      </c>
      <c r="B8" s="4" t="inlineStr">
        <is>
          <t>ThruText</t>
        </is>
      </c>
      <c r="C8" s="4" t="inlineStr">
        <is>
          <t>SMS</t>
        </is>
      </c>
      <c r="D8" s="5" t="n"/>
      <c r="E8" s="5" t="inlineStr"/>
      <c r="F8" s="5" t="n"/>
      <c r="G8" s="6">
        <f>IF(AND(ISNUMBER(D8),ISNUMBER(F8)),D8-F8,"")</f>
        <v/>
      </c>
      <c r="H8" s="7">
        <f>IF(AND(ISNUMBER(D8),ISNUMBER(F8),F8&lt;&gt;0),(D8-F8)/F8,"")</f>
        <v/>
      </c>
      <c r="I8" s="4" t="inlineStr">
        <is>
          <t>Peer-to-peer opt-ins</t>
        </is>
      </c>
      <c r="J8" s="4" t="inlineStr">
        <is>
          <t>Active</t>
        </is>
      </c>
    </row>
    <row r="9">
      <c r="A9" s="8" t="inlineStr">
        <is>
          <t>Meta Followers</t>
        </is>
      </c>
      <c r="B9" s="8" t="inlineStr">
        <is>
          <t>Meta</t>
        </is>
      </c>
      <c r="C9" s="8" t="inlineStr">
        <is>
          <t>Social</t>
        </is>
      </c>
      <c r="D9" s="5" t="n"/>
      <c r="E9" s="5" t="inlineStr"/>
      <c r="F9" s="5" t="n"/>
      <c r="G9" s="9">
        <f>IF(AND(ISNUMBER(D9),ISNUMBER(F9)),D9-F9,"")</f>
        <v/>
      </c>
      <c r="H9" s="10">
        <f>IF(AND(ISNUMBER(D9),ISNUMBER(F9),F9&lt;&gt;0),(D9-F9)/F9,"")</f>
        <v/>
      </c>
      <c r="I9" s="8" t="inlineStr"/>
      <c r="J9" s="8" t="inlineStr">
        <is>
          <t>Active</t>
        </is>
      </c>
    </row>
    <row r="10">
      <c r="A10" s="4" t="inlineStr">
        <is>
          <t>Donor List — ActBlue</t>
        </is>
      </c>
      <c r="B10" s="4" t="inlineStr">
        <is>
          <t>ActBlue</t>
        </is>
      </c>
      <c r="C10" s="4" t="inlineStr">
        <is>
          <t>Donor</t>
        </is>
      </c>
      <c r="D10" s="5" t="n"/>
      <c r="E10" s="5" t="inlineStr"/>
      <c r="F10" s="5" t="n"/>
      <c r="G10" s="6">
        <f>IF(AND(ISNUMBER(D10),ISNUMBER(F10)),D10-F10,"")</f>
        <v/>
      </c>
      <c r="H10" s="7">
        <f>IF(AND(ISNUMBER(D10),ISNUMBER(F10),F10&lt;&gt;0),(D10-F10)/F10,"")</f>
        <v/>
      </c>
      <c r="I10" s="4" t="inlineStr">
        <is>
          <t>Unique donors YTD</t>
        </is>
      </c>
      <c r="J10" s="4" t="inlineStr">
        <is>
          <t>Active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</cols>
  <sheetData>
    <row r="1" ht="22" customHeight="1">
      <c r="A1" s="1" t="inlineStr">
        <is>
          <t>SW List Size — Weekly History</t>
        </is>
      </c>
    </row>
    <row r="2" ht="16" customHeight="1">
      <c r="A2" s="2" t="inlineStr">
        <is>
          <t>Log list sizes each week. Formulas auto-calculate change columns from prior row.</t>
        </is>
      </c>
    </row>
    <row r="3" ht="28" customHeight="1">
      <c r="A3" s="3" t="inlineStr">
        <is>
          <t>Week Of</t>
        </is>
      </c>
      <c r="B3" s="3" t="inlineStr">
        <is>
          <t>Email 180DO</t>
        </is>
      </c>
      <c r="C3" s="3" t="inlineStr">
        <is>
          <t>Chg #</t>
        </is>
      </c>
      <c r="D3" s="3" t="inlineStr">
        <is>
          <t>Chg %</t>
        </is>
      </c>
      <c r="E3" s="3" t="inlineStr">
        <is>
          <t>Email 90DO</t>
        </is>
      </c>
      <c r="F3" s="3" t="inlineStr">
        <is>
          <t>Chg #</t>
        </is>
      </c>
      <c r="G3" s="3" t="inlineStr">
        <is>
          <t>Chg %</t>
        </is>
      </c>
      <c r="H3" s="3" t="inlineStr">
        <is>
          <t>Email Local</t>
        </is>
      </c>
      <c r="I3" s="3" t="inlineStr">
        <is>
          <t>Chg #</t>
        </is>
      </c>
      <c r="J3" s="3" t="inlineStr">
        <is>
          <t>Chg %</t>
        </is>
      </c>
      <c r="K3" s="3" t="inlineStr">
        <is>
          <t>Texting NTL</t>
        </is>
      </c>
      <c r="L3" s="3" t="inlineStr">
        <is>
          <t>Chg #</t>
        </is>
      </c>
      <c r="M3" s="3" t="inlineStr">
        <is>
          <t>Chg %</t>
        </is>
      </c>
    </row>
    <row r="4">
      <c r="A4" s="12" t="n"/>
      <c r="B4" s="11" t="n"/>
      <c r="C4" s="6" t="inlineStr">
        <is>
          <t>""</t>
        </is>
      </c>
      <c r="D4" s="7" t="inlineStr">
        <is>
          <t>""</t>
        </is>
      </c>
      <c r="E4" s="11" t="n"/>
      <c r="F4" s="6" t="inlineStr">
        <is>
          <t>""</t>
        </is>
      </c>
      <c r="G4" s="7" t="inlineStr">
        <is>
          <t>""</t>
        </is>
      </c>
      <c r="H4" s="11" t="n"/>
      <c r="I4" s="6" t="inlineStr">
        <is>
          <t>""</t>
        </is>
      </c>
      <c r="J4" s="7" t="inlineStr">
        <is>
          <t>""</t>
        </is>
      </c>
      <c r="K4" s="11" t="n"/>
      <c r="L4" s="6" t="inlineStr">
        <is>
          <t>""</t>
        </is>
      </c>
      <c r="M4" s="7" t="inlineStr">
        <is>
          <t>""</t>
        </is>
      </c>
    </row>
    <row r="5">
      <c r="A5" s="12" t="n"/>
      <c r="B5" s="11" t="n"/>
      <c r="C5" s="9">
        <f>IF(AND(ISNUMBER(B5),ISNUMBER(B4),5&gt;4),B5-B4,"")</f>
        <v/>
      </c>
      <c r="D5" s="10">
        <f>IF(AND(ISNUMBER(B5),ISNUMBER(B4),B4&lt;&gt;0,5&gt;4),(B5-B4)/B4,"")</f>
        <v/>
      </c>
      <c r="E5" s="11" t="n"/>
      <c r="F5" s="9">
        <f>IF(AND(ISNUMBER(E5),ISNUMBER(E4),5&gt;4),E5-E4,"")</f>
        <v/>
      </c>
      <c r="G5" s="10">
        <f>IF(AND(ISNUMBER(E5),ISNUMBER(E4),E4&lt;&gt;0,5&gt;4),(E5-E4)/E4,"")</f>
        <v/>
      </c>
      <c r="H5" s="11" t="n"/>
      <c r="I5" s="9">
        <f>IF(AND(ISNUMBER(H5),ISNUMBER(H4),5&gt;4),H5-H4,"")</f>
        <v/>
      </c>
      <c r="J5" s="10">
        <f>IF(AND(ISNUMBER(H5),ISNUMBER(H4),H4&lt;&gt;0,5&gt;4),(H5-H4)/H4,"")</f>
        <v/>
      </c>
      <c r="K5" s="11" t="n"/>
      <c r="L5" s="9">
        <f>IF(AND(ISNUMBER(K5),ISNUMBER(K4),5&gt;4),K5-K4,"")</f>
        <v/>
      </c>
      <c r="M5" s="10">
        <f>IF(AND(ISNUMBER(K5),ISNUMBER(K4),K4&lt;&gt;0,5&gt;4),(K5-K4)/K4,"")</f>
        <v/>
      </c>
    </row>
    <row r="6">
      <c r="A6" s="12" t="n"/>
      <c r="B6" s="11" t="n"/>
      <c r="C6" s="6">
        <f>IF(AND(ISNUMBER(B6),ISNUMBER(B5),6&gt;4),B6-B5,"")</f>
        <v/>
      </c>
      <c r="D6" s="7">
        <f>IF(AND(ISNUMBER(B6),ISNUMBER(B5),B5&lt;&gt;0,6&gt;4),(B6-B5)/B5,"")</f>
        <v/>
      </c>
      <c r="E6" s="11" t="n"/>
      <c r="F6" s="6">
        <f>IF(AND(ISNUMBER(E6),ISNUMBER(E5),6&gt;4),E6-E5,"")</f>
        <v/>
      </c>
      <c r="G6" s="7">
        <f>IF(AND(ISNUMBER(E6),ISNUMBER(E5),E5&lt;&gt;0,6&gt;4),(E6-E5)/E5,"")</f>
        <v/>
      </c>
      <c r="H6" s="11" t="n"/>
      <c r="I6" s="6">
        <f>IF(AND(ISNUMBER(H6),ISNUMBER(H5),6&gt;4),H6-H5,"")</f>
        <v/>
      </c>
      <c r="J6" s="7">
        <f>IF(AND(ISNUMBER(H6),ISNUMBER(H5),H5&lt;&gt;0,6&gt;4),(H6-H5)/H5,"")</f>
        <v/>
      </c>
      <c r="K6" s="11" t="n"/>
      <c r="L6" s="6">
        <f>IF(AND(ISNUMBER(K6),ISNUMBER(K5),6&gt;4),K6-K5,"")</f>
        <v/>
      </c>
      <c r="M6" s="7">
        <f>IF(AND(ISNUMBER(K6),ISNUMBER(K5),K5&lt;&gt;0,6&gt;4),(K6-K5)/K5,"")</f>
        <v/>
      </c>
    </row>
    <row r="7">
      <c r="A7" s="12" t="n"/>
      <c r="B7" s="11" t="n"/>
      <c r="C7" s="9">
        <f>IF(AND(ISNUMBER(B7),ISNUMBER(B6),7&gt;4),B7-B6,"")</f>
        <v/>
      </c>
      <c r="D7" s="10">
        <f>IF(AND(ISNUMBER(B7),ISNUMBER(B6),B6&lt;&gt;0,7&gt;4),(B7-B6)/B6,"")</f>
        <v/>
      </c>
      <c r="E7" s="11" t="n"/>
      <c r="F7" s="9">
        <f>IF(AND(ISNUMBER(E7),ISNUMBER(E6),7&gt;4),E7-E6,"")</f>
        <v/>
      </c>
      <c r="G7" s="10">
        <f>IF(AND(ISNUMBER(E7),ISNUMBER(E6),E6&lt;&gt;0,7&gt;4),(E7-E6)/E6,"")</f>
        <v/>
      </c>
      <c r="H7" s="11" t="n"/>
      <c r="I7" s="9">
        <f>IF(AND(ISNUMBER(H7),ISNUMBER(H6),7&gt;4),H7-H6,"")</f>
        <v/>
      </c>
      <c r="J7" s="10">
        <f>IF(AND(ISNUMBER(H7),ISNUMBER(H6),H6&lt;&gt;0,7&gt;4),(H7-H6)/H6,"")</f>
        <v/>
      </c>
      <c r="K7" s="11" t="n"/>
      <c r="L7" s="9">
        <f>IF(AND(ISNUMBER(K7),ISNUMBER(K6),7&gt;4),K7-K6,"")</f>
        <v/>
      </c>
      <c r="M7" s="10">
        <f>IF(AND(ISNUMBER(K7),ISNUMBER(K6),K6&lt;&gt;0,7&gt;4),(K7-K6)/K6,"")</f>
        <v/>
      </c>
    </row>
    <row r="8">
      <c r="A8" s="12" t="n"/>
      <c r="B8" s="11" t="n"/>
      <c r="C8" s="6">
        <f>IF(AND(ISNUMBER(B8),ISNUMBER(B7),8&gt;4),B8-B7,"")</f>
        <v/>
      </c>
      <c r="D8" s="7">
        <f>IF(AND(ISNUMBER(B8),ISNUMBER(B7),B7&lt;&gt;0,8&gt;4),(B8-B7)/B7,"")</f>
        <v/>
      </c>
      <c r="E8" s="11" t="n"/>
      <c r="F8" s="6">
        <f>IF(AND(ISNUMBER(E8),ISNUMBER(E7),8&gt;4),E8-E7,"")</f>
        <v/>
      </c>
      <c r="G8" s="7">
        <f>IF(AND(ISNUMBER(E8),ISNUMBER(E7),E7&lt;&gt;0,8&gt;4),(E8-E7)/E7,"")</f>
        <v/>
      </c>
      <c r="H8" s="11" t="n"/>
      <c r="I8" s="6">
        <f>IF(AND(ISNUMBER(H8),ISNUMBER(H7),8&gt;4),H8-H7,"")</f>
        <v/>
      </c>
      <c r="J8" s="7">
        <f>IF(AND(ISNUMBER(H8),ISNUMBER(H7),H7&lt;&gt;0,8&gt;4),(H8-H7)/H7,"")</f>
        <v/>
      </c>
      <c r="K8" s="11" t="n"/>
      <c r="L8" s="6">
        <f>IF(AND(ISNUMBER(K8),ISNUMBER(K7),8&gt;4),K8-K7,"")</f>
        <v/>
      </c>
      <c r="M8" s="7">
        <f>IF(AND(ISNUMBER(K8),ISNUMBER(K7),K7&lt;&gt;0,8&gt;4),(K8-K7)/K7,"")</f>
        <v/>
      </c>
    </row>
    <row r="9">
      <c r="A9" s="12" t="n"/>
      <c r="B9" s="11" t="n"/>
      <c r="C9" s="9">
        <f>IF(AND(ISNUMBER(B9),ISNUMBER(B8),9&gt;4),B9-B8,"")</f>
        <v/>
      </c>
      <c r="D9" s="10">
        <f>IF(AND(ISNUMBER(B9),ISNUMBER(B8),B8&lt;&gt;0,9&gt;4),(B9-B8)/B8,"")</f>
        <v/>
      </c>
      <c r="E9" s="11" t="n"/>
      <c r="F9" s="9">
        <f>IF(AND(ISNUMBER(E9),ISNUMBER(E8),9&gt;4),E9-E8,"")</f>
        <v/>
      </c>
      <c r="G9" s="10">
        <f>IF(AND(ISNUMBER(E9),ISNUMBER(E8),E8&lt;&gt;0,9&gt;4),(E9-E8)/E8,"")</f>
        <v/>
      </c>
      <c r="H9" s="11" t="n"/>
      <c r="I9" s="9">
        <f>IF(AND(ISNUMBER(H9),ISNUMBER(H8),9&gt;4),H9-H8,"")</f>
        <v/>
      </c>
      <c r="J9" s="10">
        <f>IF(AND(ISNUMBER(H9),ISNUMBER(H8),H8&lt;&gt;0,9&gt;4),(H9-H8)/H8,"")</f>
        <v/>
      </c>
      <c r="K9" s="11" t="n"/>
      <c r="L9" s="9">
        <f>IF(AND(ISNUMBER(K9),ISNUMBER(K8),9&gt;4),K9-K8,"")</f>
        <v/>
      </c>
      <c r="M9" s="10">
        <f>IF(AND(ISNUMBER(K9),ISNUMBER(K8),K8&lt;&gt;0,9&gt;4),(K9-K8)/K8,"")</f>
        <v/>
      </c>
    </row>
    <row r="10">
      <c r="A10" s="12" t="n"/>
      <c r="B10" s="11" t="n"/>
      <c r="C10" s="6">
        <f>IF(AND(ISNUMBER(B10),ISNUMBER(B9),10&gt;4),B10-B9,"")</f>
        <v/>
      </c>
      <c r="D10" s="7">
        <f>IF(AND(ISNUMBER(B10),ISNUMBER(B9),B9&lt;&gt;0,10&gt;4),(B10-B9)/B9,"")</f>
        <v/>
      </c>
      <c r="E10" s="11" t="n"/>
      <c r="F10" s="6">
        <f>IF(AND(ISNUMBER(E10),ISNUMBER(E9),10&gt;4),E10-E9,"")</f>
        <v/>
      </c>
      <c r="G10" s="7">
        <f>IF(AND(ISNUMBER(E10),ISNUMBER(E9),E9&lt;&gt;0,10&gt;4),(E10-E9)/E9,"")</f>
        <v/>
      </c>
      <c r="H10" s="11" t="n"/>
      <c r="I10" s="6">
        <f>IF(AND(ISNUMBER(H10),ISNUMBER(H9),10&gt;4),H10-H9,"")</f>
        <v/>
      </c>
      <c r="J10" s="7">
        <f>IF(AND(ISNUMBER(H10),ISNUMBER(H9),H9&lt;&gt;0,10&gt;4),(H10-H9)/H9,"")</f>
        <v/>
      </c>
      <c r="K10" s="11" t="n"/>
      <c r="L10" s="6">
        <f>IF(AND(ISNUMBER(K10),ISNUMBER(K9),10&gt;4),K10-K9,"")</f>
        <v/>
      </c>
      <c r="M10" s="7">
        <f>IF(AND(ISNUMBER(K10),ISNUMBER(K9),K9&lt;&gt;0,10&gt;4),(K10-K9)/K9,"")</f>
        <v/>
      </c>
    </row>
    <row r="11">
      <c r="A11" s="12" t="n"/>
      <c r="B11" s="11" t="n"/>
      <c r="C11" s="9">
        <f>IF(AND(ISNUMBER(B11),ISNUMBER(B10),11&gt;4),B11-B10,"")</f>
        <v/>
      </c>
      <c r="D11" s="10">
        <f>IF(AND(ISNUMBER(B11),ISNUMBER(B10),B10&lt;&gt;0,11&gt;4),(B11-B10)/B10,"")</f>
        <v/>
      </c>
      <c r="E11" s="11" t="n"/>
      <c r="F11" s="9">
        <f>IF(AND(ISNUMBER(E11),ISNUMBER(E10),11&gt;4),E11-E10,"")</f>
        <v/>
      </c>
      <c r="G11" s="10">
        <f>IF(AND(ISNUMBER(E11),ISNUMBER(E10),E10&lt;&gt;0,11&gt;4),(E11-E10)/E10,"")</f>
        <v/>
      </c>
      <c r="H11" s="11" t="n"/>
      <c r="I11" s="9">
        <f>IF(AND(ISNUMBER(H11),ISNUMBER(H10),11&gt;4),H11-H10,"")</f>
        <v/>
      </c>
      <c r="J11" s="10">
        <f>IF(AND(ISNUMBER(H11),ISNUMBER(H10),H10&lt;&gt;0,11&gt;4),(H11-H10)/H10,"")</f>
        <v/>
      </c>
      <c r="K11" s="11" t="n"/>
      <c r="L11" s="9">
        <f>IF(AND(ISNUMBER(K11),ISNUMBER(K10),11&gt;4),K11-K10,"")</f>
        <v/>
      </c>
      <c r="M11" s="10">
        <f>IF(AND(ISNUMBER(K11),ISNUMBER(K10),K10&lt;&gt;0,11&gt;4),(K11-K10)/K10,"")</f>
        <v/>
      </c>
    </row>
    <row r="12">
      <c r="A12" s="12" t="n"/>
      <c r="B12" s="11" t="n"/>
      <c r="C12" s="6">
        <f>IF(AND(ISNUMBER(B12),ISNUMBER(B11),12&gt;4),B12-B11,"")</f>
        <v/>
      </c>
      <c r="D12" s="7">
        <f>IF(AND(ISNUMBER(B12),ISNUMBER(B11),B11&lt;&gt;0,12&gt;4),(B12-B11)/B11,"")</f>
        <v/>
      </c>
      <c r="E12" s="11" t="n"/>
      <c r="F12" s="6">
        <f>IF(AND(ISNUMBER(E12),ISNUMBER(E11),12&gt;4),E12-E11,"")</f>
        <v/>
      </c>
      <c r="G12" s="7">
        <f>IF(AND(ISNUMBER(E12),ISNUMBER(E11),E11&lt;&gt;0,12&gt;4),(E12-E11)/E11,"")</f>
        <v/>
      </c>
      <c r="H12" s="11" t="n"/>
      <c r="I12" s="6">
        <f>IF(AND(ISNUMBER(H12),ISNUMBER(H11),12&gt;4),H12-H11,"")</f>
        <v/>
      </c>
      <c r="J12" s="7">
        <f>IF(AND(ISNUMBER(H12),ISNUMBER(H11),H11&lt;&gt;0,12&gt;4),(H12-H11)/H11,"")</f>
        <v/>
      </c>
      <c r="K12" s="11" t="n"/>
      <c r="L12" s="6">
        <f>IF(AND(ISNUMBER(K12),ISNUMBER(K11),12&gt;4),K12-K11,"")</f>
        <v/>
      </c>
      <c r="M12" s="7">
        <f>IF(AND(ISNUMBER(K12),ISNUMBER(K11),K11&lt;&gt;0,12&gt;4),(K12-K11)/K11,"")</f>
        <v/>
      </c>
    </row>
    <row r="13">
      <c r="A13" s="12" t="n"/>
      <c r="B13" s="11" t="n"/>
      <c r="C13" s="9">
        <f>IF(AND(ISNUMBER(B13),ISNUMBER(B12),13&gt;4),B13-B12,"")</f>
        <v/>
      </c>
      <c r="D13" s="10">
        <f>IF(AND(ISNUMBER(B13),ISNUMBER(B12),B12&lt;&gt;0,13&gt;4),(B13-B12)/B12,"")</f>
        <v/>
      </c>
      <c r="E13" s="11" t="n"/>
      <c r="F13" s="9">
        <f>IF(AND(ISNUMBER(E13),ISNUMBER(E12),13&gt;4),E13-E12,"")</f>
        <v/>
      </c>
      <c r="G13" s="10">
        <f>IF(AND(ISNUMBER(E13),ISNUMBER(E12),E12&lt;&gt;0,13&gt;4),(E13-E12)/E12,"")</f>
        <v/>
      </c>
      <c r="H13" s="11" t="n"/>
      <c r="I13" s="9">
        <f>IF(AND(ISNUMBER(H13),ISNUMBER(H12),13&gt;4),H13-H12,"")</f>
        <v/>
      </c>
      <c r="J13" s="10">
        <f>IF(AND(ISNUMBER(H13),ISNUMBER(H12),H12&lt;&gt;0,13&gt;4),(H13-H12)/H12,"")</f>
        <v/>
      </c>
      <c r="K13" s="11" t="n"/>
      <c r="L13" s="9">
        <f>IF(AND(ISNUMBER(K13),ISNUMBER(K12),13&gt;4),K13-K12,"")</f>
        <v/>
      </c>
      <c r="M13" s="10">
        <f>IF(AND(ISNUMBER(K13),ISNUMBER(K12),K12&lt;&gt;0,13&gt;4),(K13-K12)/K12,"")</f>
        <v/>
      </c>
    </row>
    <row r="14">
      <c r="A14" s="12" t="n"/>
      <c r="B14" s="11" t="n"/>
      <c r="C14" s="6">
        <f>IF(AND(ISNUMBER(B14),ISNUMBER(B13),14&gt;4),B14-B13,"")</f>
        <v/>
      </c>
      <c r="D14" s="7">
        <f>IF(AND(ISNUMBER(B14),ISNUMBER(B13),B13&lt;&gt;0,14&gt;4),(B14-B13)/B13,"")</f>
        <v/>
      </c>
      <c r="E14" s="11" t="n"/>
      <c r="F14" s="6">
        <f>IF(AND(ISNUMBER(E14),ISNUMBER(E13),14&gt;4),E14-E13,"")</f>
        <v/>
      </c>
      <c r="G14" s="7">
        <f>IF(AND(ISNUMBER(E14),ISNUMBER(E13),E13&lt;&gt;0,14&gt;4),(E14-E13)/E13,"")</f>
        <v/>
      </c>
      <c r="H14" s="11" t="n"/>
      <c r="I14" s="6">
        <f>IF(AND(ISNUMBER(H14),ISNUMBER(H13),14&gt;4),H14-H13,"")</f>
        <v/>
      </c>
      <c r="J14" s="7">
        <f>IF(AND(ISNUMBER(H14),ISNUMBER(H13),H13&lt;&gt;0,14&gt;4),(H14-H13)/H13,"")</f>
        <v/>
      </c>
      <c r="K14" s="11" t="n"/>
      <c r="L14" s="6">
        <f>IF(AND(ISNUMBER(K14),ISNUMBER(K13),14&gt;4),K14-K13,"")</f>
        <v/>
      </c>
      <c r="M14" s="7">
        <f>IF(AND(ISNUMBER(K14),ISNUMBER(K13),K13&lt;&gt;0,14&gt;4),(K14-K13)/K13,"")</f>
        <v/>
      </c>
    </row>
    <row r="15">
      <c r="A15" s="12" t="n"/>
      <c r="B15" s="11" t="n"/>
      <c r="C15" s="9">
        <f>IF(AND(ISNUMBER(B15),ISNUMBER(B14),15&gt;4),B15-B14,"")</f>
        <v/>
      </c>
      <c r="D15" s="10">
        <f>IF(AND(ISNUMBER(B15),ISNUMBER(B14),B14&lt;&gt;0,15&gt;4),(B15-B14)/B14,"")</f>
        <v/>
      </c>
      <c r="E15" s="11" t="n"/>
      <c r="F15" s="9">
        <f>IF(AND(ISNUMBER(E15),ISNUMBER(E14),15&gt;4),E15-E14,"")</f>
        <v/>
      </c>
      <c r="G15" s="10">
        <f>IF(AND(ISNUMBER(E15),ISNUMBER(E14),E14&lt;&gt;0,15&gt;4),(E15-E14)/E14,"")</f>
        <v/>
      </c>
      <c r="H15" s="11" t="n"/>
      <c r="I15" s="9">
        <f>IF(AND(ISNUMBER(H15),ISNUMBER(H14),15&gt;4),H15-H14,"")</f>
        <v/>
      </c>
      <c r="J15" s="10">
        <f>IF(AND(ISNUMBER(H15),ISNUMBER(H14),H14&lt;&gt;0,15&gt;4),(H15-H14)/H14,"")</f>
        <v/>
      </c>
      <c r="K15" s="11" t="n"/>
      <c r="L15" s="9">
        <f>IF(AND(ISNUMBER(K15),ISNUMBER(K14),15&gt;4),K15-K14,"")</f>
        <v/>
      </c>
      <c r="M15" s="10">
        <f>IF(AND(ISNUMBER(K15),ISNUMBER(K14),K14&lt;&gt;0,15&gt;4),(K15-K14)/K14,"")</f>
        <v/>
      </c>
    </row>
    <row r="16">
      <c r="A16" s="12" t="n"/>
      <c r="B16" s="11" t="n"/>
      <c r="C16" s="6">
        <f>IF(AND(ISNUMBER(B16),ISNUMBER(B15),16&gt;4),B16-B15,"")</f>
        <v/>
      </c>
      <c r="D16" s="7">
        <f>IF(AND(ISNUMBER(B16),ISNUMBER(B15),B15&lt;&gt;0,16&gt;4),(B16-B15)/B15,"")</f>
        <v/>
      </c>
      <c r="E16" s="11" t="n"/>
      <c r="F16" s="6">
        <f>IF(AND(ISNUMBER(E16),ISNUMBER(E15),16&gt;4),E16-E15,"")</f>
        <v/>
      </c>
      <c r="G16" s="7">
        <f>IF(AND(ISNUMBER(E16),ISNUMBER(E15),E15&lt;&gt;0,16&gt;4),(E16-E15)/E15,"")</f>
        <v/>
      </c>
      <c r="H16" s="11" t="n"/>
      <c r="I16" s="6">
        <f>IF(AND(ISNUMBER(H16),ISNUMBER(H15),16&gt;4),H16-H15,"")</f>
        <v/>
      </c>
      <c r="J16" s="7">
        <f>IF(AND(ISNUMBER(H16),ISNUMBER(H15),H15&lt;&gt;0,16&gt;4),(H16-H15)/H15,"")</f>
        <v/>
      </c>
      <c r="K16" s="11" t="n"/>
      <c r="L16" s="6">
        <f>IF(AND(ISNUMBER(K16),ISNUMBER(K15),16&gt;4),K16-K15,"")</f>
        <v/>
      </c>
      <c r="M16" s="7">
        <f>IF(AND(ISNUMBER(K16),ISNUMBER(K15),K15&lt;&gt;0,16&gt;4),(K16-K15)/K15,"")</f>
        <v/>
      </c>
    </row>
    <row r="17">
      <c r="A17" s="12" t="n"/>
      <c r="B17" s="11" t="n"/>
      <c r="C17" s="9">
        <f>IF(AND(ISNUMBER(B17),ISNUMBER(B16),17&gt;4),B17-B16,"")</f>
        <v/>
      </c>
      <c r="D17" s="10">
        <f>IF(AND(ISNUMBER(B17),ISNUMBER(B16),B16&lt;&gt;0,17&gt;4),(B17-B16)/B16,"")</f>
        <v/>
      </c>
      <c r="E17" s="11" t="n"/>
      <c r="F17" s="9">
        <f>IF(AND(ISNUMBER(E17),ISNUMBER(E16),17&gt;4),E17-E16,"")</f>
        <v/>
      </c>
      <c r="G17" s="10">
        <f>IF(AND(ISNUMBER(E17),ISNUMBER(E16),E16&lt;&gt;0,17&gt;4),(E17-E16)/E16,"")</f>
        <v/>
      </c>
      <c r="H17" s="11" t="n"/>
      <c r="I17" s="9">
        <f>IF(AND(ISNUMBER(H17),ISNUMBER(H16),17&gt;4),H17-H16,"")</f>
        <v/>
      </c>
      <c r="J17" s="10">
        <f>IF(AND(ISNUMBER(H17),ISNUMBER(H16),H16&lt;&gt;0,17&gt;4),(H17-H16)/H16,"")</f>
        <v/>
      </c>
      <c r="K17" s="11" t="n"/>
      <c r="L17" s="9">
        <f>IF(AND(ISNUMBER(K17),ISNUMBER(K16),17&gt;4),K17-K16,"")</f>
        <v/>
      </c>
      <c r="M17" s="10">
        <f>IF(AND(ISNUMBER(K17),ISNUMBER(K16),K16&lt;&gt;0,17&gt;4),(K17-K16)/K16,"")</f>
        <v/>
      </c>
    </row>
    <row r="18">
      <c r="A18" s="12" t="n"/>
      <c r="B18" s="11" t="n"/>
      <c r="C18" s="6">
        <f>IF(AND(ISNUMBER(B18),ISNUMBER(B17),18&gt;4),B18-B17,"")</f>
        <v/>
      </c>
      <c r="D18" s="7">
        <f>IF(AND(ISNUMBER(B18),ISNUMBER(B17),B17&lt;&gt;0,18&gt;4),(B18-B17)/B17,"")</f>
        <v/>
      </c>
      <c r="E18" s="11" t="n"/>
      <c r="F18" s="6">
        <f>IF(AND(ISNUMBER(E18),ISNUMBER(E17),18&gt;4),E18-E17,"")</f>
        <v/>
      </c>
      <c r="G18" s="7">
        <f>IF(AND(ISNUMBER(E18),ISNUMBER(E17),E17&lt;&gt;0,18&gt;4),(E18-E17)/E17,"")</f>
        <v/>
      </c>
      <c r="H18" s="11" t="n"/>
      <c r="I18" s="6">
        <f>IF(AND(ISNUMBER(H18),ISNUMBER(H17),18&gt;4),H18-H17,"")</f>
        <v/>
      </c>
      <c r="J18" s="7">
        <f>IF(AND(ISNUMBER(H18),ISNUMBER(H17),H17&lt;&gt;0,18&gt;4),(H18-H17)/H17,"")</f>
        <v/>
      </c>
      <c r="K18" s="11" t="n"/>
      <c r="L18" s="6">
        <f>IF(AND(ISNUMBER(K18),ISNUMBER(K17),18&gt;4),K18-K17,"")</f>
        <v/>
      </c>
      <c r="M18" s="7">
        <f>IF(AND(ISNUMBER(K18),ISNUMBER(K17),K17&lt;&gt;0,18&gt;4),(K18-K17)/K17,"")</f>
        <v/>
      </c>
    </row>
    <row r="19">
      <c r="A19" s="12" t="n"/>
      <c r="B19" s="11" t="n"/>
      <c r="C19" s="9">
        <f>IF(AND(ISNUMBER(B19),ISNUMBER(B18),19&gt;4),B19-B18,"")</f>
        <v/>
      </c>
      <c r="D19" s="10">
        <f>IF(AND(ISNUMBER(B19),ISNUMBER(B18),B18&lt;&gt;0,19&gt;4),(B19-B18)/B18,"")</f>
        <v/>
      </c>
      <c r="E19" s="11" t="n"/>
      <c r="F19" s="9">
        <f>IF(AND(ISNUMBER(E19),ISNUMBER(E18),19&gt;4),E19-E18,"")</f>
        <v/>
      </c>
      <c r="G19" s="10">
        <f>IF(AND(ISNUMBER(E19),ISNUMBER(E18),E18&lt;&gt;0,19&gt;4),(E19-E18)/E18,"")</f>
        <v/>
      </c>
      <c r="H19" s="11" t="n"/>
      <c r="I19" s="9">
        <f>IF(AND(ISNUMBER(H19),ISNUMBER(H18),19&gt;4),H19-H18,"")</f>
        <v/>
      </c>
      <c r="J19" s="10">
        <f>IF(AND(ISNUMBER(H19),ISNUMBER(H18),H18&lt;&gt;0,19&gt;4),(H19-H18)/H18,"")</f>
        <v/>
      </c>
      <c r="K19" s="11" t="n"/>
      <c r="L19" s="9">
        <f>IF(AND(ISNUMBER(K19),ISNUMBER(K18),19&gt;4),K19-K18,"")</f>
        <v/>
      </c>
      <c r="M19" s="10">
        <f>IF(AND(ISNUMBER(K19),ISNUMBER(K18),K18&lt;&gt;0,19&gt;4),(K19-K18)/K18,"")</f>
        <v/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2026-04-14T16:18:34Z</dcterms:created>
  <dcterms:modified xmlns:dcterms="http://purl.org/dc/terms/" xmlns:xsi="http://www.w3.org/2001/XMLSchema-instance" xsi:type="dcterms:W3CDTF">2026-04-14T16:18:34Z</dcterms:modified>
</cp:coreProperties>
</file>