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SW ActBlue Monthly Finances — 10% Digital Target</t>
        </is>
      </c>
    </row>
    <row r="2" ht="16" customHeight="1">
      <c r="A2" s="2" t="inlineStr">
        <is>
          <t>Digital = Email (SW_EM_* ref codes) + SMS (SMS_*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2025-11</t>
        </is>
      </c>
      <c r="B4" s="5" t="n">
        <v>298525</v>
      </c>
      <c r="C4" s="6" t="n">
        <v>3968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438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2025-12</t>
        </is>
      </c>
      <c r="B5" s="5" t="n">
        <v>270667.18</v>
      </c>
      <c r="C5" s="13" t="n">
        <v>17662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416</v>
      </c>
      <c r="J5" s="13">
        <f>IF(I5&lt;&gt;0,B5/I5,0)</f>
        <v/>
      </c>
      <c r="K5" s="17">
        <f>E5-F5</f>
        <v/>
      </c>
      <c r="L5" s="11" t="inlineStr"/>
    </row>
    <row r="6">
      <c r="A6" s="4" t="inlineStr">
        <is>
          <t>2026-01</t>
        </is>
      </c>
      <c r="B6" s="5" t="n">
        <v>205677.17</v>
      </c>
      <c r="C6" s="6" t="n">
        <v>7119</v>
      </c>
      <c r="D6" s="6" t="n">
        <v>0</v>
      </c>
      <c r="E6" s="6">
        <f>C6+D6</f>
        <v/>
      </c>
      <c r="F6" s="6">
        <f>B6*0.1</f>
        <v/>
      </c>
      <c r="G6" s="7">
        <f>IF(B6&lt;&gt;0,E6/B6,0)</f>
        <v/>
      </c>
      <c r="H6" s="8">
        <f>IF(G6&gt;=0.1,"✓ Met","✗ Below")</f>
        <v/>
      </c>
      <c r="I6" s="9" t="n">
        <v>540</v>
      </c>
      <c r="J6" s="6">
        <f>IF(I6&lt;&gt;0,B6/I6,0)</f>
        <v/>
      </c>
      <c r="K6" s="10">
        <f>E6-F6</f>
        <v/>
      </c>
      <c r="L6" s="11" t="inlineStr"/>
    </row>
    <row r="7">
      <c r="A7" s="12" t="inlineStr">
        <is>
          <t>2026-02</t>
        </is>
      </c>
      <c r="B7" s="5" t="n">
        <v>275088.85</v>
      </c>
      <c r="C7" s="13" t="n">
        <v>3703</v>
      </c>
      <c r="D7" s="13" t="n">
        <v>0</v>
      </c>
      <c r="E7" s="13">
        <f>C7+D7</f>
        <v/>
      </c>
      <c r="F7" s="13">
        <f>B7*0.1</f>
        <v/>
      </c>
      <c r="G7" s="14">
        <f>IF(B7&lt;&gt;0,E7/B7,0)</f>
        <v/>
      </c>
      <c r="H7" s="15">
        <f>IF(G7&gt;=0.1,"✓ Met","✗ Below")</f>
        <v/>
      </c>
      <c r="I7" s="16" t="n">
        <v>521</v>
      </c>
      <c r="J7" s="13">
        <f>IF(I7&lt;&gt;0,B7/I7,0)</f>
        <v/>
      </c>
      <c r="K7" s="17">
        <f>E7-F7</f>
        <v/>
      </c>
      <c r="L7" s="11" t="inlineStr"/>
    </row>
    <row r="8">
      <c r="A8" s="4" t="inlineStr">
        <is>
          <t>2026-03</t>
        </is>
      </c>
      <c r="B8" s="5" t="n">
        <v>221530</v>
      </c>
      <c r="C8" s="6" t="n">
        <v>12221</v>
      </c>
      <c r="D8" s="6" t="n">
        <v>0</v>
      </c>
      <c r="E8" s="6">
        <f>C8+D8</f>
        <v/>
      </c>
      <c r="F8" s="6">
        <f>B8*0.1</f>
        <v/>
      </c>
      <c r="G8" s="7">
        <f>IF(B8&lt;&gt;0,E8/B8,0)</f>
        <v/>
      </c>
      <c r="H8" s="8">
        <f>IF(G8&gt;=0.1,"✓ Met","✗ Below")</f>
        <v/>
      </c>
      <c r="I8" s="9" t="n">
        <v>559</v>
      </c>
      <c r="J8" s="6">
        <f>IF(I8&lt;&gt;0,B8/I8,0)</f>
        <v/>
      </c>
      <c r="K8" s="10">
        <f>E8-F8</f>
        <v/>
      </c>
      <c r="L8" s="11" t="inlineStr"/>
    </row>
    <row r="9">
      <c r="A9" s="12" t="inlineStr">
        <is>
          <t>2026-04</t>
        </is>
      </c>
      <c r="B9" s="5" t="n">
        <v>22664</v>
      </c>
      <c r="C9" s="13" t="n">
        <v>713</v>
      </c>
      <c r="D9" s="13" t="n">
        <v>789</v>
      </c>
      <c r="E9" s="13">
        <f>C9+D9</f>
        <v/>
      </c>
      <c r="F9" s="13">
        <f>B9*0.1</f>
        <v/>
      </c>
      <c r="G9" s="14">
        <f>IF(B9&lt;&gt;0,E9/B9,0)</f>
        <v/>
      </c>
      <c r="H9" s="15">
        <f>IF(G9&gt;=0.1,"✓ Met","✗ Below")</f>
        <v/>
      </c>
      <c r="I9" s="16" t="n">
        <v>142</v>
      </c>
      <c r="J9" s="13">
        <f>IF(I9&lt;&gt;0,B9/I9,0)</f>
        <v/>
      </c>
      <c r="K9" s="17">
        <f>E9-F9</f>
        <v/>
      </c>
      <c r="L9" s="11" t="inlineStr"/>
    </row>
    <row r="10">
      <c r="A10" s="18" t="inlineStr">
        <is>
          <t>TOTAL</t>
        </is>
      </c>
      <c r="B10" s="19">
        <f>SUM(B4:B9)</f>
        <v/>
      </c>
      <c r="C10" s="19">
        <f>SUM(C4:C9)</f>
        <v/>
      </c>
      <c r="D10" s="19">
        <f>SUM(D4:D9)</f>
        <v/>
      </c>
      <c r="E10" s="19">
        <f>C10+D10</f>
        <v/>
      </c>
      <c r="F10" s="18" t="n"/>
      <c r="G10" s="20">
        <f>IF(B10&lt;&gt;0,E10/B10,0)</f>
        <v/>
      </c>
      <c r="H10" s="18" t="n"/>
      <c r="I10" s="21">
        <f>SUM(I4:I9)</f>
        <v/>
      </c>
      <c r="J10" s="18" t="n"/>
      <c r="K10" s="22">
        <f>E10-F10</f>
        <v/>
      </c>
      <c r="L10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2026-04-14T16:18:35Z</dcterms:created>
  <dcterms:modified xmlns:dcterms="http://purl.org/dc/terms/" xmlns:xsi="http://www.w3.org/2001/XMLSchema-instance" xsi:type="dcterms:W3CDTF">2026-04-14T16:18:35Z</dcterms:modified>
</cp:coreProperties>
</file>